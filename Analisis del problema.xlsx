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20" yWindow="-120" windowWidth="20730" windowHeight="11760"/>
  </bookViews>
  <sheets>
    <sheet name="Hoja1" sheetId="1" r:id="rId1"/>
  </sheets>
  <calcPr calcId="125725"/>
</workbook>
</file>

<file path=xl/calcChain.xml><?xml version="1.0" encoding="utf-8"?>
<calcChain xmlns="http://schemas.openxmlformats.org/spreadsheetml/2006/main">
  <c r="O22" i="1"/>
  <c r="S19" s="1"/>
  <c r="S17" l="1"/>
  <c r="S20"/>
  <c r="S16"/>
  <c r="S21"/>
  <c r="S15"/>
  <c r="S22" s="1"/>
  <c r="S18"/>
  <c r="O10"/>
  <c r="Q5" l="1"/>
  <c r="S5" s="1"/>
  <c r="Q4"/>
  <c r="S4" s="1"/>
  <c r="Q3"/>
  <c r="S3" s="1"/>
  <c r="Q9"/>
  <c r="S9" s="1"/>
  <c r="Q7"/>
  <c r="S7" s="1"/>
  <c r="Q6"/>
  <c r="S6" s="1"/>
  <c r="Q8"/>
  <c r="S8" s="1"/>
  <c r="S10" l="1"/>
  <c r="I9" s="1"/>
</calcChain>
</file>

<file path=xl/comments1.xml><?xml version="1.0" encoding="utf-8"?>
<comments xmlns="http://schemas.openxmlformats.org/spreadsheetml/2006/main">
  <authors>
    <author>ESTUDIANTE</author>
  </authors>
  <commentList>
    <comment ref="Q3" authorId="0">
      <text>
        <r>
          <rPr>
            <b/>
            <sz val="9"/>
            <color indexed="81"/>
            <rFont val="Tahoma"/>
            <charset val="1"/>
          </rPr>
          <t>ESTUDIANTE:</t>
        </r>
        <r>
          <rPr>
            <sz val="9"/>
            <color indexed="81"/>
            <rFont val="Tahoma"/>
            <charset val="1"/>
          </rPr>
          <t xml:space="preserve">
Regla de 3 (N1)
Aquí se haya los puntos maximos que se puede consegir por el porcentaje asignado</t>
        </r>
      </text>
    </comment>
    <comment ref="S3" authorId="0">
      <text>
        <r>
          <rPr>
            <b/>
            <sz val="9"/>
            <color indexed="81"/>
            <rFont val="Tahoma"/>
            <charset val="1"/>
          </rPr>
          <t>ESTUDIANTE:</t>
        </r>
        <r>
          <rPr>
            <sz val="9"/>
            <color indexed="81"/>
            <rFont val="Tahoma"/>
            <charset val="1"/>
          </rPr>
          <t xml:space="preserve">
Regla de 3 (N2)
Aquí obtenemos los puntos que se consigieron apartir de la calificación dada</t>
        </r>
      </text>
    </comment>
    <comment ref="S15" authorId="0">
      <text>
        <r>
          <rPr>
            <b/>
            <sz val="9"/>
            <color indexed="81"/>
            <rFont val="Tahoma"/>
            <charset val="1"/>
          </rPr>
          <t>ESTUDIANTE:</t>
        </r>
        <r>
          <rPr>
            <sz val="9"/>
            <color indexed="81"/>
            <rFont val="Tahoma"/>
            <charset val="1"/>
          </rPr>
          <t xml:space="preserve">
Hacemos solo una regla de 3 aplicando sustitución podemos reducir las operaciones</t>
        </r>
      </text>
    </comment>
  </commentList>
</comments>
</file>

<file path=xl/sharedStrings.xml><?xml version="1.0" encoding="utf-8"?>
<sst xmlns="http://schemas.openxmlformats.org/spreadsheetml/2006/main" count="26" uniqueCount="18">
  <si>
    <t>Comprención del Problema</t>
  </si>
  <si>
    <t>NCriterio</t>
  </si>
  <si>
    <t>Valor%</t>
  </si>
  <si>
    <t>ValorMaximo</t>
  </si>
  <si>
    <t>=</t>
  </si>
  <si>
    <t>Personas</t>
  </si>
  <si>
    <t xml:space="preserve">Criterios de evaluación </t>
  </si>
  <si>
    <t>NotaCompatoria</t>
  </si>
  <si>
    <t>Calificación</t>
  </si>
  <si>
    <t>Puntos ganados</t>
  </si>
  <si>
    <t>Input</t>
  </si>
  <si>
    <t>Total</t>
  </si>
  <si>
    <t>Si aplicamos sustitución podemos reducir la cantidad de operaciones a una sola</t>
  </si>
  <si>
    <t xml:space="preserve">Lenguaje </t>
  </si>
  <si>
    <t>C#</t>
  </si>
  <si>
    <t>Metodo de ordenamiento</t>
  </si>
  <si>
    <t>Insert</t>
  </si>
  <si>
    <t>Porsentajes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</si>
</sst>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9" fontId="0" fillId="0" borderId="0" xfId="1" applyFont="1"/>
    <xf numFmtId="0" fontId="0" fillId="0" borderId="1" xfId="0" applyBorder="1"/>
    <xf numFmtId="9" fontId="0" fillId="0" borderId="1" xfId="1" applyFont="1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0" fontId="4" fillId="0" borderId="0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0" fillId="0" borderId="1" xfId="0" applyBorder="1" applyAlignment="1">
      <alignment horizontal="left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Porcentual" xfId="1" builtinId="5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zoomScaleNormal="100" workbookViewId="0">
      <selection activeCell="K13" sqref="K13"/>
    </sheetView>
  </sheetViews>
  <sheetFormatPr baseColWidth="10" defaultRowHeight="15"/>
  <cols>
    <col min="1" max="1" width="9" bestFit="1" customWidth="1"/>
    <col min="2" max="2" width="3.5703125" bestFit="1" customWidth="1"/>
    <col min="3" max="3" width="4.5703125" bestFit="1" customWidth="1"/>
    <col min="4" max="4" width="3.5703125" bestFit="1" customWidth="1"/>
    <col min="5" max="6" width="4.5703125" bestFit="1" customWidth="1"/>
    <col min="7" max="7" width="3.5703125" bestFit="1" customWidth="1"/>
    <col min="8" max="8" width="4.5703125" bestFit="1" customWidth="1"/>
    <col min="9" max="9" width="15.5703125" bestFit="1" customWidth="1"/>
    <col min="10" max="10" width="7.28515625" bestFit="1" customWidth="1"/>
    <col min="11" max="11" width="9.42578125" bestFit="1" customWidth="1"/>
    <col min="12" max="12" width="3.140625" bestFit="1" customWidth="1"/>
    <col min="13" max="13" width="9.28515625" bestFit="1" customWidth="1"/>
    <col min="14" max="14" width="13" bestFit="1" customWidth="1"/>
    <col min="15" max="15" width="7.28515625" bestFit="1" customWidth="1"/>
    <col min="16" max="16" width="9.140625" bestFit="1" customWidth="1"/>
    <col min="17" max="17" width="12.85546875" bestFit="1" customWidth="1"/>
    <col min="18" max="18" width="11.140625" bestFit="1" customWidth="1"/>
    <col min="19" max="19" width="14.85546875" bestFit="1" customWidth="1"/>
    <col min="20" max="20" width="5.42578125" bestFit="1" customWidth="1"/>
  </cols>
  <sheetData>
    <row r="1" spans="1:21">
      <c r="I1" s="12" t="s">
        <v>15</v>
      </c>
      <c r="J1" s="12"/>
      <c r="K1" s="12"/>
      <c r="L1" s="12" t="s">
        <v>16</v>
      </c>
      <c r="M1" s="12"/>
    </row>
    <row r="2" spans="1:21">
      <c r="G2" s="1"/>
      <c r="K2" t="s">
        <v>13</v>
      </c>
      <c r="L2" t="s">
        <v>14</v>
      </c>
      <c r="O2" s="2" t="s">
        <v>2</v>
      </c>
      <c r="P2" s="2" t="s">
        <v>1</v>
      </c>
      <c r="Q2" s="2" t="s">
        <v>3</v>
      </c>
      <c r="R2" s="2" t="s">
        <v>8</v>
      </c>
      <c r="S2" s="5" t="s">
        <v>9</v>
      </c>
    </row>
    <row r="3" spans="1:21">
      <c r="B3" s="12" t="s">
        <v>0</v>
      </c>
      <c r="C3" s="12"/>
      <c r="D3" s="12"/>
      <c r="E3" s="12"/>
      <c r="F3" s="12"/>
      <c r="G3" s="12"/>
      <c r="H3" s="12"/>
      <c r="I3" s="12"/>
      <c r="O3" s="3">
        <v>0.05</v>
      </c>
      <c r="P3" s="2">
        <v>1</v>
      </c>
      <c r="Q3" s="2">
        <f t="shared" ref="Q3:Q9" si="0">+O3*$Q$10/$O$10</f>
        <v>3.5</v>
      </c>
      <c r="R3" s="2">
        <v>5</v>
      </c>
      <c r="S3" s="2">
        <f>+R3*Q3/10</f>
        <v>1.75</v>
      </c>
    </row>
    <row r="4" spans="1:21">
      <c r="O4" s="3">
        <v>0.15</v>
      </c>
      <c r="P4" s="2">
        <v>2</v>
      </c>
      <c r="Q4" s="2">
        <f t="shared" si="0"/>
        <v>10.5</v>
      </c>
      <c r="R4" s="2">
        <v>10</v>
      </c>
      <c r="S4" s="2">
        <f t="shared" ref="S4:S9" si="1">+R4*Q4/10</f>
        <v>10.5</v>
      </c>
    </row>
    <row r="5" spans="1:21">
      <c r="A5" s="2"/>
      <c r="B5" s="13" t="s">
        <v>6</v>
      </c>
      <c r="C5" s="14"/>
      <c r="D5" s="14"/>
      <c r="E5" s="14"/>
      <c r="F5" s="14"/>
      <c r="G5" s="14"/>
      <c r="H5" s="15"/>
      <c r="O5" s="3">
        <v>0.05</v>
      </c>
      <c r="P5" s="2">
        <v>3</v>
      </c>
      <c r="Q5" s="2">
        <f t="shared" si="0"/>
        <v>3.5</v>
      </c>
      <c r="R5" s="2">
        <v>4</v>
      </c>
      <c r="S5" s="2">
        <f t="shared" si="1"/>
        <v>1.4</v>
      </c>
    </row>
    <row r="6" spans="1:21">
      <c r="A6" s="2" t="s">
        <v>5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 t="s">
        <v>7</v>
      </c>
      <c r="O6" s="3">
        <v>0.4</v>
      </c>
      <c r="P6" s="2">
        <v>4</v>
      </c>
      <c r="Q6" s="2">
        <f t="shared" si="0"/>
        <v>28</v>
      </c>
      <c r="R6" s="2">
        <v>3</v>
      </c>
      <c r="S6" s="2">
        <f t="shared" si="1"/>
        <v>8.4</v>
      </c>
    </row>
    <row r="7" spans="1:21">
      <c r="A7" s="10">
        <v>1</v>
      </c>
      <c r="B7" s="2">
        <v>10</v>
      </c>
      <c r="C7" s="2">
        <v>10</v>
      </c>
      <c r="D7" s="2">
        <v>10</v>
      </c>
      <c r="E7" s="2">
        <v>10</v>
      </c>
      <c r="F7" s="2">
        <v>10</v>
      </c>
      <c r="G7" s="2">
        <v>10</v>
      </c>
      <c r="H7" s="2">
        <v>10</v>
      </c>
      <c r="I7" s="2">
        <v>70</v>
      </c>
      <c r="O7" s="3">
        <v>0.19</v>
      </c>
      <c r="P7" s="2">
        <v>5</v>
      </c>
      <c r="Q7" s="2">
        <f t="shared" si="0"/>
        <v>13.3</v>
      </c>
      <c r="R7" s="2">
        <v>10</v>
      </c>
      <c r="S7" s="2">
        <f>+R7*Q7/10</f>
        <v>13.3</v>
      </c>
    </row>
    <row r="8" spans="1:21">
      <c r="A8" s="10">
        <v>2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2">
        <v>3</v>
      </c>
      <c r="I8" s="2">
        <v>40.880000000000003</v>
      </c>
      <c r="O8" s="3">
        <v>0.01</v>
      </c>
      <c r="P8" s="2">
        <v>6</v>
      </c>
      <c r="Q8" s="2">
        <f t="shared" si="0"/>
        <v>0.70000000000000007</v>
      </c>
      <c r="R8" s="2">
        <v>5</v>
      </c>
      <c r="S8" s="2">
        <f>+R8*Q8/10</f>
        <v>0.35000000000000003</v>
      </c>
    </row>
    <row r="9" spans="1:21">
      <c r="A9" s="10">
        <v>3</v>
      </c>
      <c r="B9" s="2">
        <v>5</v>
      </c>
      <c r="C9" s="2">
        <v>10</v>
      </c>
      <c r="D9" s="2">
        <v>4</v>
      </c>
      <c r="E9" s="2">
        <v>3</v>
      </c>
      <c r="F9" s="2">
        <v>10</v>
      </c>
      <c r="G9" s="2">
        <v>5</v>
      </c>
      <c r="H9" s="2">
        <v>8</v>
      </c>
      <c r="I9" s="2">
        <f>+S10</f>
        <v>44.1</v>
      </c>
      <c r="O9" s="3">
        <v>0.15</v>
      </c>
      <c r="P9" s="2">
        <v>7</v>
      </c>
      <c r="Q9" s="2">
        <f t="shared" si="0"/>
        <v>10.5</v>
      </c>
      <c r="R9" s="2">
        <v>8</v>
      </c>
      <c r="S9" s="2">
        <f t="shared" si="1"/>
        <v>8.4</v>
      </c>
    </row>
    <row r="10" spans="1:21">
      <c r="A10" s="10">
        <v>4</v>
      </c>
      <c r="B10" s="2">
        <v>3</v>
      </c>
      <c r="C10" s="2">
        <v>2</v>
      </c>
      <c r="D10" s="2">
        <v>5</v>
      </c>
      <c r="E10" s="2">
        <v>6</v>
      </c>
      <c r="F10" s="2">
        <v>4</v>
      </c>
      <c r="G10" s="2">
        <v>8</v>
      </c>
      <c r="H10" s="2">
        <v>9</v>
      </c>
      <c r="I10" s="2">
        <v>37.03</v>
      </c>
      <c r="O10" s="3">
        <f>SUM(O3:O9)</f>
        <v>1</v>
      </c>
      <c r="P10" s="4" t="s">
        <v>4</v>
      </c>
      <c r="Q10" s="2">
        <v>70</v>
      </c>
      <c r="R10" s="6" t="s">
        <v>10</v>
      </c>
      <c r="S10" s="5">
        <f>SUM(S3:S9)</f>
        <v>44.1</v>
      </c>
      <c r="T10" s="7" t="s">
        <v>11</v>
      </c>
    </row>
    <row r="11" spans="1:21">
      <c r="A11" s="10">
        <v>5</v>
      </c>
      <c r="B11" s="2">
        <v>5</v>
      </c>
      <c r="C11" s="2">
        <v>6</v>
      </c>
      <c r="D11" s="2">
        <v>9</v>
      </c>
      <c r="E11" s="2">
        <v>4</v>
      </c>
      <c r="F11" s="2">
        <v>1</v>
      </c>
      <c r="G11" s="2">
        <v>8</v>
      </c>
      <c r="H11" s="2">
        <v>2</v>
      </c>
      <c r="I11" s="2">
        <v>26.39</v>
      </c>
      <c r="O11" s="8" t="s">
        <v>10</v>
      </c>
      <c r="P11" s="9"/>
    </row>
    <row r="12" spans="1:21">
      <c r="A12" s="7" t="s">
        <v>10</v>
      </c>
      <c r="B12" s="3">
        <v>0.05</v>
      </c>
      <c r="C12" s="3">
        <v>0.15</v>
      </c>
      <c r="D12" s="3">
        <v>0.05</v>
      </c>
      <c r="E12" s="3">
        <v>0.4</v>
      </c>
      <c r="F12" s="3">
        <v>0.19</v>
      </c>
      <c r="G12" s="3">
        <v>0.01</v>
      </c>
      <c r="H12" s="3">
        <v>0.15</v>
      </c>
      <c r="O12" s="11" t="s">
        <v>12</v>
      </c>
      <c r="P12" s="11"/>
      <c r="Q12" s="11"/>
      <c r="R12" s="11"/>
      <c r="S12" s="11"/>
      <c r="T12" s="11"/>
      <c r="U12" s="11"/>
    </row>
    <row r="13" spans="1:21">
      <c r="B13" s="17" t="s">
        <v>17</v>
      </c>
      <c r="C13" s="17"/>
      <c r="D13" s="17"/>
      <c r="E13" s="17"/>
      <c r="F13" s="17"/>
      <c r="G13" s="17"/>
      <c r="H13" s="17"/>
    </row>
    <row r="14" spans="1:21">
      <c r="B14" s="16" t="s">
        <v>10</v>
      </c>
      <c r="C14" s="16"/>
      <c r="D14" s="16"/>
      <c r="E14" s="16"/>
      <c r="F14" s="16"/>
      <c r="G14" s="16"/>
      <c r="H14" s="16"/>
      <c r="O14" s="2" t="s">
        <v>2</v>
      </c>
      <c r="P14" s="2" t="s">
        <v>1</v>
      </c>
      <c r="R14" s="2" t="s">
        <v>8</v>
      </c>
      <c r="S14" s="5" t="s">
        <v>9</v>
      </c>
    </row>
    <row r="15" spans="1:21">
      <c r="O15" s="3">
        <v>0.05</v>
      </c>
      <c r="P15" s="2">
        <v>1</v>
      </c>
      <c r="R15" s="2">
        <v>5</v>
      </c>
      <c r="S15" s="2">
        <f t="shared" ref="S15:S21" si="2">+(($P$22*O15/$O$22)*R15/10)</f>
        <v>1.75</v>
      </c>
    </row>
    <row r="16" spans="1:21">
      <c r="O16" s="3">
        <v>0.15</v>
      </c>
      <c r="P16" s="2">
        <v>2</v>
      </c>
      <c r="R16" s="2">
        <v>6</v>
      </c>
      <c r="S16" s="2">
        <f t="shared" si="2"/>
        <v>6.3</v>
      </c>
    </row>
    <row r="17" spans="15:20">
      <c r="O17" s="3">
        <v>0.05</v>
      </c>
      <c r="P17" s="2">
        <v>3</v>
      </c>
      <c r="R17" s="2">
        <v>9</v>
      </c>
      <c r="S17" s="2">
        <f t="shared" si="2"/>
        <v>3.15</v>
      </c>
    </row>
    <row r="18" spans="15:20">
      <c r="O18" s="3">
        <v>0.4</v>
      </c>
      <c r="P18" s="2">
        <v>4</v>
      </c>
      <c r="R18" s="2">
        <v>4</v>
      </c>
      <c r="S18" s="2">
        <f t="shared" si="2"/>
        <v>11.2</v>
      </c>
    </row>
    <row r="19" spans="15:20">
      <c r="O19" s="3">
        <v>0.19</v>
      </c>
      <c r="P19" s="2">
        <v>5</v>
      </c>
      <c r="R19" s="2">
        <v>1</v>
      </c>
      <c r="S19" s="2">
        <f t="shared" si="2"/>
        <v>1.33</v>
      </c>
    </row>
    <row r="20" spans="15:20">
      <c r="O20" s="3">
        <v>0.01</v>
      </c>
      <c r="P20" s="2">
        <v>6</v>
      </c>
      <c r="R20" s="2">
        <v>8</v>
      </c>
      <c r="S20" s="2">
        <f t="shared" si="2"/>
        <v>0.56000000000000005</v>
      </c>
    </row>
    <row r="21" spans="15:20">
      <c r="O21" s="3">
        <v>0.15</v>
      </c>
      <c r="P21" s="2">
        <v>7</v>
      </c>
      <c r="R21" s="2">
        <v>2</v>
      </c>
      <c r="S21" s="2">
        <f t="shared" si="2"/>
        <v>2.1</v>
      </c>
    </row>
    <row r="22" spans="15:20">
      <c r="O22" s="3">
        <f>SUM(O15:O21)</f>
        <v>1</v>
      </c>
      <c r="P22" s="5">
        <v>70</v>
      </c>
      <c r="S22" s="2">
        <f>SUM(S15:S21)</f>
        <v>26.389999999999997</v>
      </c>
      <c r="T22" s="7" t="s">
        <v>11</v>
      </c>
    </row>
  </sheetData>
  <mergeCells count="7">
    <mergeCell ref="B13:H13"/>
    <mergeCell ref="B14:H14"/>
    <mergeCell ref="O12:U12"/>
    <mergeCell ref="I1:K1"/>
    <mergeCell ref="L1:M1"/>
    <mergeCell ref="B5:H5"/>
    <mergeCell ref="B3:I3"/>
  </mergeCells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Usuario</cp:lastModifiedBy>
  <dcterms:created xsi:type="dcterms:W3CDTF">2019-10-29T19:49:19Z</dcterms:created>
  <dcterms:modified xsi:type="dcterms:W3CDTF">2019-11-04T20:20:55Z</dcterms:modified>
</cp:coreProperties>
</file>