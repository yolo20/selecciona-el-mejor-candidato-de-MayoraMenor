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1.xml" ContentType="application/vnd.openxmlformats-officedocument.spreadsheetml.worksheet+xml"/>
  <Default Extension="vml" ContentType="application/vnd.openxmlformats-officedocument.vmlDrawing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6" rupBuild="4507"/>
  <workbookPr/>
  <bookViews>
    <workbookView xWindow="-120" yWindow="-120" windowWidth="20730" windowHeight="11760"/>
  </bookViews>
  <sheets>
    <sheet name="Hoja1" sheetId="1" r:id="rId1"/>
  </sheets>
  <calcPr calcId="125725"/>
  <extLst xmlns:x15="http://schemas.microsoft.com/office/spreadsheetml/2010/11/main">
    <ext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P15" i="1"/>
  <c r="P16"/>
  <c r="P17"/>
  <c r="P18"/>
  <c r="P19"/>
  <c r="P20"/>
  <c r="P14"/>
  <c r="P2"/>
  <c r="L21"/>
  <c r="P21" l="1"/>
  <c r="L9"/>
  <c r="N4" l="1"/>
  <c r="P4" s="1"/>
  <c r="N3"/>
  <c r="N2"/>
  <c r="N8"/>
  <c r="P8" s="1"/>
  <c r="P3"/>
  <c r="N6"/>
  <c r="P6" s="1"/>
  <c r="N5"/>
  <c r="P5" s="1"/>
  <c r="N7"/>
  <c r="P7" s="1"/>
  <c r="P9" l="1"/>
  <c r="I9" s="1"/>
</calcChain>
</file>

<file path=xl/comments1.xml><?xml version="1.0" encoding="utf-8"?>
<comments xmlns="http://schemas.openxmlformats.org/spreadsheetml/2006/main">
  <authors>
    <author>ESTUDIANTE</author>
  </authors>
  <commentList>
    <comment ref="N2" authorId="0">
      <text>
        <r>
          <rPr>
            <b/>
            <sz val="9"/>
            <color indexed="81"/>
            <rFont val="Tahoma"/>
            <charset val="1"/>
          </rPr>
          <t>ESTUDIANTE:</t>
        </r>
        <r>
          <rPr>
            <sz val="9"/>
            <color indexed="81"/>
            <rFont val="Tahoma"/>
            <charset val="1"/>
          </rPr>
          <t xml:space="preserve">
Regla de 3 (N1)
Aquí se haya los puntos maximos que se puede consegir por el porcentaje asignado</t>
        </r>
      </text>
    </comment>
    <comment ref="P2" authorId="0">
      <text>
        <r>
          <rPr>
            <b/>
            <sz val="9"/>
            <color indexed="81"/>
            <rFont val="Tahoma"/>
            <charset val="1"/>
          </rPr>
          <t>ESTUDIANTE:</t>
        </r>
        <r>
          <rPr>
            <sz val="9"/>
            <color indexed="81"/>
            <rFont val="Tahoma"/>
            <charset val="1"/>
          </rPr>
          <t xml:space="preserve">
Regla de 3 (N2)
Aquí obtenemos los puntos que se consigieron apartir de la calificación dada</t>
        </r>
      </text>
    </comment>
    <comment ref="P14" authorId="0">
      <text>
        <r>
          <rPr>
            <b/>
            <sz val="9"/>
            <color indexed="81"/>
            <rFont val="Tahoma"/>
            <charset val="1"/>
          </rPr>
          <t>ESTUDIANTE:</t>
        </r>
        <r>
          <rPr>
            <sz val="9"/>
            <color indexed="81"/>
            <rFont val="Tahoma"/>
            <charset val="1"/>
          </rPr>
          <t xml:space="preserve">
Hacemos solo una regla de 3 aplicando sustitución podemos reducir las operaciones</t>
        </r>
      </text>
    </comment>
  </commentList>
</comments>
</file>

<file path=xl/sharedStrings.xml><?xml version="1.0" encoding="utf-8"?>
<sst xmlns="http://schemas.openxmlformats.org/spreadsheetml/2006/main" count="20" uniqueCount="13">
  <si>
    <t>Comprención del Problema</t>
  </si>
  <si>
    <t>NCriterio</t>
  </si>
  <si>
    <t>Valor%</t>
  </si>
  <si>
    <t>ValorMaximo</t>
  </si>
  <si>
    <t>=</t>
  </si>
  <si>
    <t>Personas</t>
  </si>
  <si>
    <t xml:space="preserve">Criterios de evaluación </t>
  </si>
  <si>
    <t>NotaCompatoria</t>
  </si>
  <si>
    <t>Calificación</t>
  </si>
  <si>
    <t>Puntos ganados</t>
  </si>
  <si>
    <t>Input</t>
  </si>
  <si>
    <t>Total</t>
  </si>
  <si>
    <t>Si aplicamos sustitución podemos reducir la cantidad de operacionesa una sola</t>
  </si>
</sst>
</file>

<file path=xl/styles.xml><?xml version="1.0" encoding="utf-8"?>
<styleSheet xmlns="http://schemas.openxmlformats.org/spreadsheetml/2006/main">
  <fonts count="6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sz val="11"/>
      <color rgb="FFFF0000"/>
      <name val="Calibri"/>
      <family val="2"/>
      <scheme val="minor"/>
    </font>
    <font>
      <u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7">
    <xf numFmtId="0" fontId="0" fillId="0" borderId="0" xfId="0"/>
    <xf numFmtId="9" fontId="0" fillId="0" borderId="0" xfId="1" applyFont="1"/>
    <xf numFmtId="0" fontId="0" fillId="0" borderId="1" xfId="0" applyBorder="1"/>
    <xf numFmtId="9" fontId="0" fillId="0" borderId="1" xfId="1" applyFont="1" applyBorder="1"/>
    <xf numFmtId="0" fontId="0" fillId="0" borderId="1" xfId="0" applyBorder="1" applyAlignment="1">
      <alignment horizontal="center" vertical="center"/>
    </xf>
    <xf numFmtId="0" fontId="0" fillId="0" borderId="1" xfId="0" applyFill="1" applyBorder="1"/>
    <xf numFmtId="0" fontId="4" fillId="0" borderId="0" xfId="0" applyFont="1" applyBorder="1" applyAlignment="1">
      <alignment horizontal="center"/>
    </xf>
    <xf numFmtId="0" fontId="4" fillId="0" borderId="0" xfId="0" applyFont="1"/>
    <xf numFmtId="0" fontId="4" fillId="0" borderId="0" xfId="0" applyFont="1" applyAlignment="1">
      <alignment horizontal="center"/>
    </xf>
    <xf numFmtId="0" fontId="5" fillId="0" borderId="0" xfId="0" applyFont="1"/>
    <xf numFmtId="0" fontId="0" fillId="0" borderId="1" xfId="0" applyBorder="1" applyAlignment="1">
      <alignment horizontal="left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0" xfId="0" applyAlignment="1">
      <alignment horizontal="center"/>
    </xf>
    <xf numFmtId="0" fontId="4" fillId="0" borderId="5" xfId="0" applyFont="1" applyBorder="1" applyAlignment="1">
      <alignment horizontal="center"/>
    </xf>
    <xf numFmtId="0" fontId="0" fillId="2" borderId="0" xfId="0" applyFill="1" applyAlignment="1">
      <alignment horizontal="center"/>
    </xf>
  </cellXfs>
  <cellStyles count="2">
    <cellStyle name="Normal" xfId="0" builtinId="0"/>
    <cellStyle name="Porcentual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=""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R21"/>
  <sheetViews>
    <sheetView tabSelected="1" workbookViewId="0">
      <selection activeCell="I12" sqref="I12"/>
    </sheetView>
  </sheetViews>
  <sheetFormatPr baseColWidth="10" defaultRowHeight="15"/>
  <cols>
    <col min="1" max="1" width="9" bestFit="1" customWidth="1"/>
    <col min="2" max="8" width="3" bestFit="1" customWidth="1"/>
    <col min="9" max="9" width="15.5703125" bestFit="1" customWidth="1"/>
    <col min="10" max="10" width="7.28515625" bestFit="1" customWidth="1"/>
    <col min="11" max="11" width="9.140625" bestFit="1" customWidth="1"/>
    <col min="12" max="12" width="7.28515625" bestFit="1" customWidth="1"/>
    <col min="13" max="13" width="9.140625" bestFit="1" customWidth="1"/>
    <col min="14" max="14" width="12.85546875" bestFit="1" customWidth="1"/>
    <col min="15" max="15" width="11.140625" bestFit="1" customWidth="1"/>
    <col min="16" max="16" width="14.85546875" bestFit="1" customWidth="1"/>
    <col min="17" max="17" width="5" bestFit="1" customWidth="1"/>
  </cols>
  <sheetData>
    <row r="1" spans="1:18">
      <c r="L1" s="2" t="s">
        <v>2</v>
      </c>
      <c r="M1" s="2" t="s">
        <v>1</v>
      </c>
      <c r="N1" s="2" t="s">
        <v>3</v>
      </c>
      <c r="O1" s="2" t="s">
        <v>8</v>
      </c>
      <c r="P1" s="5" t="s">
        <v>9</v>
      </c>
    </row>
    <row r="2" spans="1:18">
      <c r="G2" s="1"/>
      <c r="L2" s="3">
        <v>0.05</v>
      </c>
      <c r="M2" s="2">
        <v>1</v>
      </c>
      <c r="N2" s="2">
        <f>+L2*$N$9/$L$9</f>
        <v>3.5</v>
      </c>
      <c r="O2" s="2">
        <v>5</v>
      </c>
      <c r="P2" s="2">
        <f>+O2*N2/10</f>
        <v>1.75</v>
      </c>
    </row>
    <row r="3" spans="1:18">
      <c r="B3" s="14" t="s">
        <v>0</v>
      </c>
      <c r="C3" s="14"/>
      <c r="D3" s="14"/>
      <c r="E3" s="14"/>
      <c r="F3" s="14"/>
      <c r="G3" s="14"/>
      <c r="H3" s="14"/>
      <c r="I3" s="14"/>
      <c r="L3" s="3">
        <v>0.15</v>
      </c>
      <c r="M3" s="2">
        <v>2</v>
      </c>
      <c r="N3" s="2">
        <f>+L3*$N$9/$L$9</f>
        <v>10.5</v>
      </c>
      <c r="O3" s="2">
        <v>10</v>
      </c>
      <c r="P3" s="2">
        <f t="shared" ref="P3:P8" si="0">+O3*N3/10</f>
        <v>10.5</v>
      </c>
    </row>
    <row r="4" spans="1:18">
      <c r="L4" s="3">
        <v>0.05</v>
      </c>
      <c r="M4" s="2">
        <v>3</v>
      </c>
      <c r="N4" s="2">
        <f t="shared" ref="N4:N8" si="1">+L4*$N$9/$L$9</f>
        <v>3.5</v>
      </c>
      <c r="O4" s="2">
        <v>4</v>
      </c>
      <c r="P4" s="2">
        <f t="shared" si="0"/>
        <v>1.4</v>
      </c>
    </row>
    <row r="5" spans="1:18">
      <c r="A5" s="2"/>
      <c r="B5" s="11" t="s">
        <v>6</v>
      </c>
      <c r="C5" s="12"/>
      <c r="D5" s="12"/>
      <c r="E5" s="12"/>
      <c r="F5" s="12"/>
      <c r="G5" s="12"/>
      <c r="H5" s="13"/>
      <c r="L5" s="3">
        <v>0.4</v>
      </c>
      <c r="M5" s="2">
        <v>4</v>
      </c>
      <c r="N5" s="2">
        <f t="shared" si="1"/>
        <v>28</v>
      </c>
      <c r="O5" s="2">
        <v>3</v>
      </c>
      <c r="P5" s="2">
        <f t="shared" si="0"/>
        <v>8.4</v>
      </c>
    </row>
    <row r="6" spans="1:18">
      <c r="A6" s="2" t="s">
        <v>5</v>
      </c>
      <c r="B6" s="2">
        <v>1</v>
      </c>
      <c r="C6" s="2">
        <v>2</v>
      </c>
      <c r="D6" s="2">
        <v>3</v>
      </c>
      <c r="E6" s="2">
        <v>4</v>
      </c>
      <c r="F6" s="2">
        <v>5</v>
      </c>
      <c r="G6" s="2">
        <v>6</v>
      </c>
      <c r="H6" s="2">
        <v>7</v>
      </c>
      <c r="I6" s="2" t="s">
        <v>7</v>
      </c>
      <c r="L6" s="3">
        <v>0.19</v>
      </c>
      <c r="M6" s="2">
        <v>5</v>
      </c>
      <c r="N6" s="2">
        <f t="shared" si="1"/>
        <v>13.3</v>
      </c>
      <c r="O6" s="2">
        <v>10</v>
      </c>
      <c r="P6" s="2">
        <f>+O6*N6/10</f>
        <v>13.3</v>
      </c>
    </row>
    <row r="7" spans="1:18">
      <c r="A7" s="10">
        <v>1</v>
      </c>
      <c r="B7" s="2">
        <v>10</v>
      </c>
      <c r="C7" s="2">
        <v>10</v>
      </c>
      <c r="D7" s="2">
        <v>10</v>
      </c>
      <c r="E7" s="2">
        <v>10</v>
      </c>
      <c r="F7" s="2">
        <v>10</v>
      </c>
      <c r="G7" s="2">
        <v>10</v>
      </c>
      <c r="H7" s="2">
        <v>10</v>
      </c>
      <c r="I7" s="2">
        <v>70</v>
      </c>
      <c r="L7" s="3">
        <v>0.01</v>
      </c>
      <c r="M7" s="2">
        <v>6</v>
      </c>
      <c r="N7" s="2">
        <f t="shared" si="1"/>
        <v>0.70000000000000007</v>
      </c>
      <c r="O7" s="2">
        <v>5</v>
      </c>
      <c r="P7" s="2">
        <f>+O7*N7/10</f>
        <v>0.35000000000000003</v>
      </c>
    </row>
    <row r="8" spans="1:18">
      <c r="A8" s="10">
        <v>2</v>
      </c>
      <c r="B8" s="2">
        <v>9</v>
      </c>
      <c r="C8" s="2">
        <v>8</v>
      </c>
      <c r="D8" s="2">
        <v>7</v>
      </c>
      <c r="E8" s="2">
        <v>6</v>
      </c>
      <c r="F8" s="2">
        <v>5</v>
      </c>
      <c r="G8" s="2">
        <v>4</v>
      </c>
      <c r="H8" s="2">
        <v>3</v>
      </c>
      <c r="I8" s="2">
        <v>40.880000000000003</v>
      </c>
      <c r="L8" s="3">
        <v>0.15</v>
      </c>
      <c r="M8" s="2">
        <v>7</v>
      </c>
      <c r="N8" s="2">
        <f t="shared" si="1"/>
        <v>10.5</v>
      </c>
      <c r="O8" s="2">
        <v>8</v>
      </c>
      <c r="P8" s="2">
        <f t="shared" si="0"/>
        <v>8.4</v>
      </c>
    </row>
    <row r="9" spans="1:18">
      <c r="A9" s="10">
        <v>3</v>
      </c>
      <c r="B9" s="2">
        <v>5</v>
      </c>
      <c r="C9" s="2">
        <v>10</v>
      </c>
      <c r="D9" s="2">
        <v>4</v>
      </c>
      <c r="E9" s="2">
        <v>3</v>
      </c>
      <c r="F9" s="2">
        <v>10</v>
      </c>
      <c r="G9" s="2">
        <v>5</v>
      </c>
      <c r="H9" s="2">
        <v>8</v>
      </c>
      <c r="I9" s="2">
        <f>+P9</f>
        <v>44.1</v>
      </c>
      <c r="L9" s="3">
        <f>SUM(L2:L8)</f>
        <v>1</v>
      </c>
      <c r="M9" s="4" t="s">
        <v>4</v>
      </c>
      <c r="N9" s="2">
        <v>70</v>
      </c>
      <c r="O9" s="6" t="s">
        <v>10</v>
      </c>
      <c r="P9" s="5">
        <f>SUM(P2:P8)</f>
        <v>44.1</v>
      </c>
      <c r="Q9" s="7" t="s">
        <v>11</v>
      </c>
    </row>
    <row r="10" spans="1:18">
      <c r="A10" s="10">
        <v>4</v>
      </c>
      <c r="B10" s="2">
        <v>3</v>
      </c>
      <c r="C10" s="2">
        <v>2</v>
      </c>
      <c r="D10" s="2">
        <v>5</v>
      </c>
      <c r="E10" s="2">
        <v>6</v>
      </c>
      <c r="F10" s="2">
        <v>4</v>
      </c>
      <c r="G10" s="2">
        <v>8</v>
      </c>
      <c r="H10" s="2">
        <v>9</v>
      </c>
      <c r="I10" s="2">
        <v>37.03</v>
      </c>
      <c r="L10" s="8" t="s">
        <v>10</v>
      </c>
      <c r="M10" s="9"/>
    </row>
    <row r="11" spans="1:18">
      <c r="A11" s="10">
        <v>5</v>
      </c>
      <c r="B11" s="2">
        <v>5</v>
      </c>
      <c r="C11" s="2">
        <v>6</v>
      </c>
      <c r="D11" s="2">
        <v>9</v>
      </c>
      <c r="E11" s="2">
        <v>4</v>
      </c>
      <c r="F11" s="2">
        <v>1</v>
      </c>
      <c r="G11" s="2">
        <v>8</v>
      </c>
      <c r="H11" s="2">
        <v>2</v>
      </c>
      <c r="I11" s="2">
        <v>26.39</v>
      </c>
      <c r="L11" s="16" t="s">
        <v>12</v>
      </c>
      <c r="M11" s="16"/>
      <c r="N11" s="16"/>
      <c r="O11" s="16"/>
      <c r="P11" s="16"/>
      <c r="Q11" s="16"/>
      <c r="R11" s="16"/>
    </row>
    <row r="12" spans="1:18">
      <c r="B12" s="15" t="s">
        <v>10</v>
      </c>
      <c r="C12" s="15"/>
      <c r="D12" s="15"/>
      <c r="E12" s="15"/>
      <c r="F12" s="15"/>
      <c r="G12" s="15"/>
      <c r="H12" s="15"/>
    </row>
    <row r="13" spans="1:18">
      <c r="L13" s="2" t="s">
        <v>2</v>
      </c>
      <c r="M13" s="2" t="s">
        <v>1</v>
      </c>
      <c r="O13" s="2" t="s">
        <v>8</v>
      </c>
      <c r="P13" s="5" t="s">
        <v>9</v>
      </c>
    </row>
    <row r="14" spans="1:18">
      <c r="L14" s="3">
        <v>0.05</v>
      </c>
      <c r="M14" s="2">
        <v>1</v>
      </c>
      <c r="O14" s="2">
        <v>5</v>
      </c>
      <c r="P14" s="2">
        <f>+(($M$21*L14/$L$21)*O14/10)</f>
        <v>1.75</v>
      </c>
    </row>
    <row r="15" spans="1:18">
      <c r="L15" s="3">
        <v>0.15</v>
      </c>
      <c r="M15" s="2">
        <v>2</v>
      </c>
      <c r="O15" s="2">
        <v>6</v>
      </c>
      <c r="P15" s="2">
        <f t="shared" ref="P15:P20" si="2">+(($M$21*L15/$L$21)*O15/10)</f>
        <v>6.3</v>
      </c>
    </row>
    <row r="16" spans="1:18">
      <c r="L16" s="3">
        <v>0.05</v>
      </c>
      <c r="M16" s="2">
        <v>3</v>
      </c>
      <c r="O16" s="2">
        <v>9</v>
      </c>
      <c r="P16" s="2">
        <f t="shared" si="2"/>
        <v>3.15</v>
      </c>
    </row>
    <row r="17" spans="12:17">
      <c r="L17" s="3">
        <v>0.4</v>
      </c>
      <c r="M17" s="2">
        <v>4</v>
      </c>
      <c r="O17" s="2">
        <v>4</v>
      </c>
      <c r="P17" s="2">
        <f t="shared" si="2"/>
        <v>11.2</v>
      </c>
    </row>
    <row r="18" spans="12:17">
      <c r="L18" s="3">
        <v>0.19</v>
      </c>
      <c r="M18" s="2">
        <v>5</v>
      </c>
      <c r="O18" s="2">
        <v>1</v>
      </c>
      <c r="P18" s="2">
        <f t="shared" si="2"/>
        <v>1.33</v>
      </c>
    </row>
    <row r="19" spans="12:17">
      <c r="L19" s="3">
        <v>0.01</v>
      </c>
      <c r="M19" s="2">
        <v>6</v>
      </c>
      <c r="O19" s="2">
        <v>8</v>
      </c>
      <c r="P19" s="2">
        <f t="shared" si="2"/>
        <v>0.56000000000000005</v>
      </c>
    </row>
    <row r="20" spans="12:17">
      <c r="L20" s="3">
        <v>0.15</v>
      </c>
      <c r="M20" s="2">
        <v>7</v>
      </c>
      <c r="O20" s="2">
        <v>2</v>
      </c>
      <c r="P20" s="2">
        <f t="shared" si="2"/>
        <v>2.1</v>
      </c>
    </row>
    <row r="21" spans="12:17">
      <c r="L21" s="3">
        <f>SUM(L14:L20)</f>
        <v>1</v>
      </c>
      <c r="M21" s="5">
        <v>70</v>
      </c>
      <c r="P21" s="2">
        <f>SUM(P14:P20)</f>
        <v>26.389999999999997</v>
      </c>
      <c r="Q21" s="7" t="s">
        <v>11</v>
      </c>
    </row>
  </sheetData>
  <mergeCells count="4">
    <mergeCell ref="B5:H5"/>
    <mergeCell ref="B3:I3"/>
    <mergeCell ref="B12:H12"/>
    <mergeCell ref="L11:R11"/>
  </mergeCells>
  <pageMargins left="0.7" right="0.7" top="0.75" bottom="0.75" header="0.3" footer="0.3"/>
  <pageSetup orientation="portrait" horizontalDpi="300" verticalDpi="300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ESTUDIANTE</dc:creator>
  <cp:lastModifiedBy>Usuario</cp:lastModifiedBy>
  <dcterms:created xsi:type="dcterms:W3CDTF">2019-10-29T19:49:19Z</dcterms:created>
  <dcterms:modified xsi:type="dcterms:W3CDTF">2019-10-31T16:48:44Z</dcterms:modified>
</cp:coreProperties>
</file>